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petrpova\Desktop\ВИКА\МИРЭА\Курс управление проектами\Управление рисками\М-лы от Вики\"/>
    </mc:Choice>
  </mc:AlternateContent>
  <bookViews>
    <workbookView xWindow="0" yWindow="0" windowWidth="23040" windowHeight="9576" activeTab="2"/>
  </bookViews>
  <sheets>
    <sheet name="Пример 1 - Риски" sheetId="5" r:id="rId1"/>
    <sheet name="Пример 2 - Влияние " sheetId="6" r:id="rId2"/>
    <sheet name="СРС 1 - Риски" sheetId="1" r:id="rId3"/>
    <sheet name="СРС 2 - Влияние" sheetId="2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0" i="2" l="1"/>
  <c r="B39" i="2"/>
  <c r="B38" i="2"/>
  <c r="B37" i="2"/>
  <c r="B36" i="2"/>
  <c r="B35" i="2"/>
  <c r="B34" i="2"/>
  <c r="B33" i="2"/>
  <c r="B32" i="2"/>
  <c r="B31" i="2"/>
  <c r="B30" i="2"/>
  <c r="B24" i="2"/>
  <c r="B23" i="2"/>
  <c r="B22" i="2"/>
  <c r="B21" i="2"/>
  <c r="B20" i="2"/>
  <c r="B19" i="2"/>
  <c r="B18" i="2"/>
  <c r="B17" i="2"/>
  <c r="B16" i="2"/>
  <c r="B15" i="2"/>
  <c r="B14" i="2"/>
  <c r="I12" i="5"/>
  <c r="I11" i="5"/>
  <c r="I10" i="5"/>
  <c r="I9" i="5"/>
  <c r="I8" i="5"/>
  <c r="I7" i="5"/>
  <c r="I6" i="5"/>
  <c r="I5" i="5"/>
  <c r="I2" i="5"/>
  <c r="B40" i="6"/>
  <c r="B39" i="6"/>
  <c r="B38" i="6"/>
  <c r="B37" i="6"/>
  <c r="B36" i="6"/>
  <c r="B35" i="6"/>
  <c r="B34" i="6"/>
  <c r="B33" i="6"/>
  <c r="B32" i="6"/>
  <c r="B31" i="6"/>
  <c r="B30" i="6"/>
  <c r="B24" i="6"/>
  <c r="B23" i="6"/>
  <c r="B22" i="6"/>
  <c r="B21" i="6"/>
  <c r="B20" i="6"/>
  <c r="B19" i="6"/>
  <c r="B18" i="6"/>
  <c r="B17" i="6"/>
  <c r="B16" i="6"/>
  <c r="B15" i="6"/>
  <c r="E12" i="5"/>
  <c r="E11" i="5"/>
  <c r="E10" i="5"/>
  <c r="E9" i="5"/>
  <c r="E8" i="5"/>
  <c r="E7" i="5"/>
  <c r="E6" i="5"/>
  <c r="E5" i="5"/>
  <c r="E2" i="5" l="1"/>
  <c r="B14" i="6"/>
  <c r="I40" i="6"/>
  <c r="I39" i="6"/>
  <c r="I38" i="6"/>
  <c r="I37" i="6"/>
  <c r="I36" i="6"/>
  <c r="I35" i="6"/>
  <c r="I34" i="6"/>
  <c r="I33" i="6"/>
  <c r="I32" i="6"/>
  <c r="I4" i="5" s="1"/>
  <c r="J4" i="5" s="1"/>
  <c r="I31" i="6"/>
  <c r="I3" i="5" s="1"/>
  <c r="J3" i="5" s="1"/>
  <c r="I30" i="6"/>
  <c r="I24" i="6"/>
  <c r="I23" i="6"/>
  <c r="I22" i="6"/>
  <c r="I21" i="6"/>
  <c r="I20" i="6"/>
  <c r="I19" i="6"/>
  <c r="I18" i="6"/>
  <c r="I17" i="6"/>
  <c r="I16" i="6"/>
  <c r="E4" i="5" s="1"/>
  <c r="F4" i="5" s="1"/>
  <c r="I15" i="6"/>
  <c r="E3" i="5" s="1"/>
  <c r="F3" i="5" s="1"/>
  <c r="I14" i="6"/>
  <c r="J12" i="5"/>
  <c r="J11" i="5"/>
  <c r="F11" i="5"/>
  <c r="J10" i="5"/>
  <c r="F10" i="5"/>
  <c r="J9" i="5"/>
  <c r="F9" i="5"/>
  <c r="J8" i="5"/>
  <c r="F8" i="5"/>
  <c r="J7" i="5"/>
  <c r="F7" i="5"/>
  <c r="J6" i="5"/>
  <c r="F6" i="5"/>
  <c r="J5" i="5"/>
  <c r="F5" i="5"/>
  <c r="J2" i="5"/>
  <c r="F2" i="5"/>
  <c r="E3" i="1"/>
  <c r="I14" i="2"/>
  <c r="E2" i="1" s="1"/>
  <c r="I40" i="2"/>
  <c r="I39" i="2"/>
  <c r="I38" i="2"/>
  <c r="I37" i="2"/>
  <c r="I36" i="2"/>
  <c r="I35" i="2"/>
  <c r="I34" i="2"/>
  <c r="I33" i="2"/>
  <c r="I32" i="2"/>
  <c r="I31" i="2"/>
  <c r="I30" i="2"/>
  <c r="I24" i="2"/>
  <c r="F12" i="5" s="1"/>
  <c r="I23" i="2"/>
  <c r="E11" i="1" s="1"/>
  <c r="I22" i="2"/>
  <c r="I21" i="2"/>
  <c r="I20" i="2"/>
  <c r="I19" i="2"/>
  <c r="I18" i="2"/>
  <c r="I17" i="2"/>
  <c r="I16" i="2"/>
  <c r="I15" i="2"/>
  <c r="I12" i="1" l="1"/>
  <c r="J12" i="1" s="1"/>
  <c r="E12" i="1"/>
  <c r="F12" i="1" s="1"/>
  <c r="I11" i="1" l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I2" i="1"/>
  <c r="J2" i="1" s="1"/>
  <c r="F3" i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F11" i="1"/>
  <c r="F2" i="1"/>
</calcChain>
</file>

<file path=xl/sharedStrings.xml><?xml version="1.0" encoding="utf-8"?>
<sst xmlns="http://schemas.openxmlformats.org/spreadsheetml/2006/main" count="89" uniqueCount="33">
  <si>
    <t>№</t>
  </si>
  <si>
    <t>Risk</t>
  </si>
  <si>
    <t>Very low</t>
  </si>
  <si>
    <t>Low</t>
  </si>
  <si>
    <t>Medium</t>
  </si>
  <si>
    <t>High</t>
  </si>
  <si>
    <t>Very high</t>
  </si>
  <si>
    <t>Уровень доверия клиентов к продукту уменьшится, что привдете к утрате пользователей минимум на 10% от уровня до внедрения системы</t>
  </si>
  <si>
    <t>Probability (Вероятность)</t>
  </si>
  <si>
    <t>Impact (Влияние)</t>
  </si>
  <si>
    <t>Probability (Вероятность риска после применения плана)</t>
  </si>
  <si>
    <t>Impact (Влияние риска после применения плана)</t>
  </si>
  <si>
    <t>Заказчик (пользователь) предъявляет претензии по удобству интерфейса</t>
  </si>
  <si>
    <t>Scope (объем)</t>
  </si>
  <si>
    <t>Quality (качество)</t>
  </si>
  <si>
    <t>Cost (затраты)</t>
  </si>
  <si>
    <t>Reputation (Репутация)</t>
  </si>
  <si>
    <t xml:space="preserve"> Impact (Влияние)</t>
  </si>
  <si>
    <t>Effort (Усилие)</t>
  </si>
  <si>
    <t>Risk Modification Plan
 (план по выходу из зоны риска)</t>
  </si>
  <si>
    <t>Risk event or condition (тригер)
Рисковое событие или состояние</t>
  </si>
  <si>
    <t>Consequence (риск)
Последствие</t>
  </si>
  <si>
    <t>Несоответствие разработанного и требуемого пользовательского интерфейса</t>
  </si>
  <si>
    <t xml:space="preserve">Соисполнитель проекта не выполнил задачу в срок, задержка сроков проекта, возрастание стоимости работ, ухудшение репутации, </t>
  </si>
  <si>
    <t>Проблемы в задачах, выполняемых внешними подрядчиками</t>
  </si>
  <si>
    <t>Duration (продолжитель-ность)</t>
  </si>
  <si>
    <t>Начальные значения параметров для оценки влияния</t>
  </si>
  <si>
    <t>Оценка влияния  после введения мероприятий по снижению риска</t>
  </si>
  <si>
    <t>Кол-во негативных обращений на портал после вредрения выросло на 30%</t>
  </si>
  <si>
    <t>Risk Level (Подверженность риску)</t>
  </si>
  <si>
    <t>1. Перед началом разработки провести доп. анализ сущности обращений
2. Определить топ-3 проблемы, с которыми чаще всего сталкивается клиент 
3. Внести в план разработки доп.аспекты для минимизации нагрузки по определенным критичным зонам</t>
  </si>
  <si>
    <t>1. Уточнение требований, 
2. Прототипирование, 
3. Анализ стоимости</t>
  </si>
  <si>
    <t>1. Проверка контрагентов, 
2. Подготовка макетов и прототипирование,
3. Мероприятия по формированию команды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</si>
</sst>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Calibri"/>
      <family val="2"/>
      <charset val="204"/>
    </font>
    <font>
      <sz val="10"/>
      <color rgb="FF00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 readingOrder="1"/>
    </xf>
    <xf numFmtId="0" fontId="0" fillId="0" borderId="5" xfId="0" applyBorder="1" applyAlignment="1">
      <alignment horizontal="center"/>
    </xf>
    <xf numFmtId="0" fontId="4" fillId="7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/>
    </xf>
    <xf numFmtId="0" fontId="3" fillId="0" borderId="3" xfId="0" applyFont="1" applyFill="1" applyBorder="1" applyAlignment="1">
      <alignment horizontal="left" vertical="center" wrapText="1" readingOrder="1"/>
    </xf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6" fillId="0" borderId="1" xfId="0" applyFont="1" applyBorder="1" applyProtection="1">
      <protection hidden="1"/>
    </xf>
    <xf numFmtId="0" fontId="0" fillId="0" borderId="1" xfId="0" applyBorder="1" applyProtection="1">
      <protection locked="0"/>
    </xf>
    <xf numFmtId="0" fontId="7" fillId="9" borderId="2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8" fillId="8" borderId="2" xfId="0" applyFont="1" applyFill="1" applyBorder="1" applyAlignment="1">
      <alignment horizontal="center"/>
    </xf>
    <xf numFmtId="0" fontId="1" fillId="0" borderId="0" xfId="0" applyFont="1" applyFill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7" borderId="1" xfId="0" applyFont="1" applyFill="1" applyBorder="1" applyAlignment="1">
      <alignment horizontal="left" wrapText="1"/>
    </xf>
  </cellXfs>
  <cellStyles count="1">
    <cellStyle name="Обычный" xfId="0" builtinId="0"/>
  </cellStyles>
  <dxfs count="75"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A3A3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A3A3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A3A3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A3A3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A3A3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A3A3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A3A3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A3A3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A3A3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1036320</xdr:colOff>
      <xdr:row>10</xdr:row>
      <xdr:rowOff>10409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64140" cy="31346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1699260</xdr:colOff>
      <xdr:row>12</xdr:row>
      <xdr:rowOff>297180</xdr:rowOff>
    </xdr:from>
    <xdr:to>
      <xdr:col>9</xdr:col>
      <xdr:colOff>922020</xdr:colOff>
      <xdr:row>20</xdr:row>
      <xdr:rowOff>114300</xdr:rowOff>
    </xdr:to>
    <xdr:sp macro="" textlink="">
      <xdr:nvSpPr>
        <xdr:cNvPr id="3" name="Прямоугольник 2"/>
        <xdr:cNvSpPr/>
      </xdr:nvSpPr>
      <xdr:spPr>
        <a:xfrm>
          <a:off x="4518660" y="3497580"/>
          <a:ext cx="9387840" cy="1630680"/>
        </a:xfrm>
        <a:prstGeom prst="rect">
          <a:avLst/>
        </a:prstGeom>
        <a:solidFill>
          <a:sysClr val="window" lastClr="FFFFFF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ysClr val="windowText" lastClr="000000"/>
              </a:solidFill>
            </a:rPr>
            <a:t>Отчет по лабораторной работе: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1036320</xdr:colOff>
      <xdr:row>10</xdr:row>
      <xdr:rowOff>10409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64140" cy="31346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J38"/>
  <sheetViews>
    <sheetView zoomScaleNormal="100" workbookViewId="0">
      <selection activeCell="G1" sqref="G1"/>
    </sheetView>
  </sheetViews>
  <sheetFormatPr defaultColWidth="8.77734375" defaultRowHeight="14.4" x14ac:dyDescent="0.3"/>
  <cols>
    <col min="1" max="1" width="8.77734375" style="14"/>
    <col min="2" max="2" width="32.33203125" customWidth="1"/>
    <col min="3" max="3" width="37.88671875" customWidth="1"/>
    <col min="4" max="4" width="15" style="14" customWidth="1"/>
    <col min="5" max="6" width="13.6640625" style="14" customWidth="1"/>
    <col min="7" max="7" width="40.6640625" customWidth="1"/>
    <col min="8" max="10" width="13.6640625" style="14" customWidth="1"/>
  </cols>
  <sheetData>
    <row r="1" spans="1:10" s="2" customFormat="1" ht="93.6" x14ac:dyDescent="0.3">
      <c r="A1" s="36" t="s">
        <v>0</v>
      </c>
      <c r="B1" s="36" t="s">
        <v>20</v>
      </c>
      <c r="C1" s="36" t="s">
        <v>21</v>
      </c>
      <c r="D1" s="36" t="s">
        <v>8</v>
      </c>
      <c r="E1" s="36" t="s">
        <v>9</v>
      </c>
      <c r="F1" s="36" t="s">
        <v>29</v>
      </c>
      <c r="G1" s="36" t="s">
        <v>19</v>
      </c>
      <c r="H1" s="36" t="s">
        <v>10</v>
      </c>
      <c r="I1" s="36" t="s">
        <v>11</v>
      </c>
      <c r="J1" s="36" t="s">
        <v>29</v>
      </c>
    </row>
    <row r="2" spans="1:10" s="14" customFormat="1" ht="96.6" x14ac:dyDescent="0.3">
      <c r="A2" s="24">
        <v>1</v>
      </c>
      <c r="B2" s="12" t="s">
        <v>28</v>
      </c>
      <c r="C2" s="12" t="s">
        <v>7</v>
      </c>
      <c r="D2" s="43">
        <v>3</v>
      </c>
      <c r="E2" s="43">
        <f>'Пример 2 - Влияние '!I14</f>
        <v>2.5</v>
      </c>
      <c r="F2" s="43">
        <f>D2*E2</f>
        <v>7.5</v>
      </c>
      <c r="G2" s="45" t="s">
        <v>30</v>
      </c>
      <c r="H2" s="44">
        <v>2</v>
      </c>
      <c r="I2" s="40">
        <f>'Пример 2 - Влияние '!I30</f>
        <v>1.5</v>
      </c>
      <c r="J2" s="40">
        <f>H2*I2</f>
        <v>3</v>
      </c>
    </row>
    <row r="3" spans="1:10" s="8" customFormat="1" ht="41.4" x14ac:dyDescent="0.3">
      <c r="A3" s="21">
        <v>2</v>
      </c>
      <c r="B3" s="23" t="s">
        <v>22</v>
      </c>
      <c r="C3" s="22" t="s">
        <v>12</v>
      </c>
      <c r="D3" s="39">
        <v>3</v>
      </c>
      <c r="E3" s="39">
        <f>'Пример 2 - Влияние '!I15</f>
        <v>3</v>
      </c>
      <c r="F3" s="39">
        <f t="shared" ref="F3:F12" si="0">D3*E3</f>
        <v>9</v>
      </c>
      <c r="G3" s="11" t="s">
        <v>31</v>
      </c>
      <c r="H3" s="13">
        <v>2</v>
      </c>
      <c r="I3" s="40">
        <f>'Пример 2 - Влияние '!I31</f>
        <v>1.8</v>
      </c>
      <c r="J3" s="29">
        <f t="shared" ref="J3:J12" si="1">H3*I3</f>
        <v>3.6</v>
      </c>
    </row>
    <row r="4" spans="1:10" s="10" customFormat="1" ht="55.2" x14ac:dyDescent="0.3">
      <c r="A4" s="21">
        <v>3</v>
      </c>
      <c r="B4" s="23" t="s">
        <v>24</v>
      </c>
      <c r="C4" s="22" t="s">
        <v>23</v>
      </c>
      <c r="D4" s="39">
        <v>5</v>
      </c>
      <c r="E4" s="39">
        <f>'Пример 2 - Влияние '!I16</f>
        <v>3.7</v>
      </c>
      <c r="F4" s="39">
        <f t="shared" si="0"/>
        <v>18.5</v>
      </c>
      <c r="G4" s="11" t="s">
        <v>32</v>
      </c>
      <c r="H4" s="13">
        <v>4</v>
      </c>
      <c r="I4" s="40">
        <f>'Пример 2 - Влияние '!I32</f>
        <v>2.2999999999999998</v>
      </c>
      <c r="J4" s="29">
        <f t="shared" si="1"/>
        <v>9.1999999999999993</v>
      </c>
    </row>
    <row r="5" spans="1:10" x14ac:dyDescent="0.3">
      <c r="A5" s="21">
        <v>4</v>
      </c>
      <c r="B5" s="23"/>
      <c r="C5" s="22"/>
      <c r="D5" s="39"/>
      <c r="E5" s="43" t="e">
        <f>'Пример 2 - Влияние '!I17</f>
        <v>#DIV/0!</v>
      </c>
      <c r="F5" s="39" t="e">
        <f t="shared" si="0"/>
        <v>#DIV/0!</v>
      </c>
      <c r="G5" s="11"/>
      <c r="H5" s="13"/>
      <c r="I5" s="40" t="e">
        <f>'Пример 2 - Влияние '!I33</f>
        <v>#DIV/0!</v>
      </c>
      <c r="J5" s="29" t="e">
        <f t="shared" si="1"/>
        <v>#DIV/0!</v>
      </c>
    </row>
    <row r="6" spans="1:10" x14ac:dyDescent="0.3">
      <c r="A6" s="21">
        <v>5</v>
      </c>
      <c r="B6" s="23"/>
      <c r="C6" s="22"/>
      <c r="D6" s="39"/>
      <c r="E6" s="43" t="e">
        <f>'Пример 2 - Влияние '!I18</f>
        <v>#DIV/0!</v>
      </c>
      <c r="F6" s="39" t="e">
        <f t="shared" si="0"/>
        <v>#DIV/0!</v>
      </c>
      <c r="G6" s="11"/>
      <c r="H6" s="13"/>
      <c r="I6" s="40" t="e">
        <f>'Пример 2 - Влияние '!I34</f>
        <v>#DIV/0!</v>
      </c>
      <c r="J6" s="29" t="e">
        <f t="shared" si="1"/>
        <v>#DIV/0!</v>
      </c>
    </row>
    <row r="7" spans="1:10" s="10" customFormat="1" x14ac:dyDescent="0.3">
      <c r="A7" s="21">
        <v>6</v>
      </c>
      <c r="B7" s="23"/>
      <c r="C7" s="22"/>
      <c r="D7" s="39"/>
      <c r="E7" s="43" t="e">
        <f>'Пример 2 - Влияние '!I19</f>
        <v>#DIV/0!</v>
      </c>
      <c r="F7" s="39" t="e">
        <f t="shared" si="0"/>
        <v>#DIV/0!</v>
      </c>
      <c r="G7" s="11"/>
      <c r="H7" s="13"/>
      <c r="I7" s="40" t="e">
        <f>'Пример 2 - Влияние '!I35</f>
        <v>#DIV/0!</v>
      </c>
      <c r="J7" s="29" t="e">
        <f t="shared" si="1"/>
        <v>#DIV/0!</v>
      </c>
    </row>
    <row r="8" spans="1:10" x14ac:dyDescent="0.3">
      <c r="A8" s="21">
        <v>7</v>
      </c>
      <c r="B8" s="23"/>
      <c r="C8" s="22"/>
      <c r="D8" s="39"/>
      <c r="E8" s="43" t="e">
        <f>'Пример 2 - Влияние '!I20</f>
        <v>#DIV/0!</v>
      </c>
      <c r="F8" s="39" t="e">
        <f t="shared" si="0"/>
        <v>#DIV/0!</v>
      </c>
      <c r="G8" s="11"/>
      <c r="H8" s="13"/>
      <c r="I8" s="40" t="e">
        <f>'Пример 2 - Влияние '!I36</f>
        <v>#DIV/0!</v>
      </c>
      <c r="J8" s="29" t="e">
        <f t="shared" si="1"/>
        <v>#DIV/0!</v>
      </c>
    </row>
    <row r="9" spans="1:10" s="9" customFormat="1" x14ac:dyDescent="0.3">
      <c r="A9" s="21">
        <v>8</v>
      </c>
      <c r="B9" s="25"/>
      <c r="C9" s="22"/>
      <c r="D9" s="39"/>
      <c r="E9" s="43" t="e">
        <f>'Пример 2 - Влияние '!I21</f>
        <v>#DIV/0!</v>
      </c>
      <c r="F9" s="39" t="e">
        <f t="shared" si="0"/>
        <v>#DIV/0!</v>
      </c>
      <c r="G9" s="11"/>
      <c r="H9" s="13"/>
      <c r="I9" s="40" t="e">
        <f>'Пример 2 - Влияние '!I37</f>
        <v>#DIV/0!</v>
      </c>
      <c r="J9" s="29" t="e">
        <f t="shared" si="1"/>
        <v>#DIV/0!</v>
      </c>
    </row>
    <row r="10" spans="1:10" x14ac:dyDescent="0.3">
      <c r="A10" s="21">
        <v>9</v>
      </c>
      <c r="B10" s="23"/>
      <c r="C10" s="22"/>
      <c r="D10" s="39"/>
      <c r="E10" s="43" t="e">
        <f>'Пример 2 - Влияние '!I22</f>
        <v>#DIV/0!</v>
      </c>
      <c r="F10" s="39" t="e">
        <f t="shared" si="0"/>
        <v>#DIV/0!</v>
      </c>
      <c r="G10" s="11"/>
      <c r="H10" s="13"/>
      <c r="I10" s="40" t="e">
        <f>'Пример 2 - Влияние '!I38</f>
        <v>#DIV/0!</v>
      </c>
      <c r="J10" s="29" t="e">
        <f t="shared" si="1"/>
        <v>#DIV/0!</v>
      </c>
    </row>
    <row r="11" spans="1:10" x14ac:dyDescent="0.3">
      <c r="A11" s="21">
        <v>10</v>
      </c>
      <c r="B11" s="23"/>
      <c r="C11" s="22"/>
      <c r="D11" s="39"/>
      <c r="E11" s="43" t="e">
        <f>'Пример 2 - Влияние '!I23</f>
        <v>#DIV/0!</v>
      </c>
      <c r="F11" s="39" t="e">
        <f t="shared" si="0"/>
        <v>#DIV/0!</v>
      </c>
      <c r="G11" s="11"/>
      <c r="H11" s="13"/>
      <c r="I11" s="40" t="e">
        <f>'Пример 2 - Влияние '!I39</f>
        <v>#DIV/0!</v>
      </c>
      <c r="J11" s="29" t="e">
        <f t="shared" si="1"/>
        <v>#DIV/0!</v>
      </c>
    </row>
    <row r="12" spans="1:10" x14ac:dyDescent="0.3">
      <c r="A12" s="29">
        <v>11</v>
      </c>
      <c r="B12" s="23"/>
      <c r="C12" s="11"/>
      <c r="D12" s="39">
        <v>5</v>
      </c>
      <c r="E12" s="43" t="e">
        <f>'Пример 2 - Влияние '!I24</f>
        <v>#DIV/0!</v>
      </c>
      <c r="F12" s="39" t="e">
        <f t="shared" si="0"/>
        <v>#DIV/0!</v>
      </c>
      <c r="G12" s="11"/>
      <c r="H12" s="13"/>
      <c r="I12" s="40" t="e">
        <f>'Пример 2 - Влияние '!I40</f>
        <v>#DIV/0!</v>
      </c>
      <c r="J12" s="29" t="e">
        <f t="shared" si="1"/>
        <v>#DIV/0!</v>
      </c>
    </row>
    <row r="13" spans="1:10" s="28" customFormat="1" ht="24" customHeight="1" thickBot="1" x14ac:dyDescent="0.35">
      <c r="A13" s="26"/>
      <c r="B13" s="27"/>
      <c r="D13" s="26"/>
      <c r="E13" s="26"/>
      <c r="F13" s="26"/>
      <c r="H13" s="26"/>
      <c r="I13" s="26"/>
      <c r="J13" s="26"/>
    </row>
    <row r="14" spans="1:10" ht="18" x14ac:dyDescent="0.35">
      <c r="A14" s="15">
        <v>1</v>
      </c>
      <c r="B14" s="3" t="s">
        <v>2</v>
      </c>
      <c r="F14" s="41"/>
      <c r="G14" s="42"/>
    </row>
    <row r="15" spans="1:10" ht="18" x14ac:dyDescent="0.35">
      <c r="A15" s="16">
        <v>2</v>
      </c>
      <c r="B15" s="4" t="s">
        <v>3</v>
      </c>
      <c r="F15" s="41"/>
      <c r="G15" s="42"/>
    </row>
    <row r="16" spans="1:10" ht="18" x14ac:dyDescent="0.35">
      <c r="A16" s="17">
        <v>3</v>
      </c>
      <c r="B16" s="5" t="s">
        <v>4</v>
      </c>
      <c r="F16" s="41"/>
      <c r="G16" s="42"/>
    </row>
    <row r="17" spans="1:7" ht="18" x14ac:dyDescent="0.35">
      <c r="A17" s="18">
        <v>4</v>
      </c>
      <c r="B17" s="7" t="s">
        <v>5</v>
      </c>
      <c r="F17" s="41"/>
      <c r="G17" s="42"/>
    </row>
    <row r="18" spans="1:7" ht="18" x14ac:dyDescent="0.35">
      <c r="A18" s="19">
        <v>5</v>
      </c>
      <c r="B18" s="6" t="s">
        <v>6</v>
      </c>
      <c r="F18" s="41"/>
      <c r="G18" s="42"/>
    </row>
    <row r="19" spans="1:7" x14ac:dyDescent="0.3">
      <c r="F19" s="41"/>
      <c r="G19" s="42"/>
    </row>
    <row r="20" spans="1:7" x14ac:dyDescent="0.3">
      <c r="F20" s="41"/>
      <c r="G20" s="42"/>
    </row>
    <row r="21" spans="1:7" x14ac:dyDescent="0.3">
      <c r="F21" s="41"/>
      <c r="G21" s="42"/>
    </row>
    <row r="22" spans="1:7" x14ac:dyDescent="0.3">
      <c r="F22" s="41"/>
      <c r="G22" s="42"/>
    </row>
    <row r="23" spans="1:7" x14ac:dyDescent="0.3">
      <c r="F23" s="41"/>
      <c r="G23" s="42"/>
    </row>
    <row r="24" spans="1:7" x14ac:dyDescent="0.3">
      <c r="F24" s="41"/>
      <c r="G24" s="42"/>
    </row>
    <row r="25" spans="1:7" x14ac:dyDescent="0.3">
      <c r="F25" s="41"/>
      <c r="G25" s="42"/>
    </row>
    <row r="26" spans="1:7" x14ac:dyDescent="0.3">
      <c r="F26" s="41"/>
      <c r="G26" s="42"/>
    </row>
    <row r="27" spans="1:7" x14ac:dyDescent="0.3">
      <c r="F27" s="41"/>
      <c r="G27" s="42"/>
    </row>
    <row r="28" spans="1:7" x14ac:dyDescent="0.3">
      <c r="F28" s="41"/>
      <c r="G28" s="42"/>
    </row>
    <row r="29" spans="1:7" x14ac:dyDescent="0.3">
      <c r="F29" s="41"/>
      <c r="G29" s="42"/>
    </row>
    <row r="30" spans="1:7" x14ac:dyDescent="0.3">
      <c r="F30" s="41"/>
      <c r="G30" s="42"/>
    </row>
    <row r="31" spans="1:7" x14ac:dyDescent="0.3">
      <c r="F31" s="41"/>
      <c r="G31" s="42"/>
    </row>
    <row r="32" spans="1:7" x14ac:dyDescent="0.3">
      <c r="F32" s="41"/>
      <c r="G32" s="42"/>
    </row>
    <row r="33" spans="6:7" x14ac:dyDescent="0.3">
      <c r="F33" s="41"/>
      <c r="G33" s="42"/>
    </row>
    <row r="34" spans="6:7" x14ac:dyDescent="0.3">
      <c r="F34" s="41"/>
      <c r="G34" s="42"/>
    </row>
    <row r="35" spans="6:7" x14ac:dyDescent="0.3">
      <c r="F35" s="41"/>
      <c r="G35" s="42"/>
    </row>
    <row r="36" spans="6:7" x14ac:dyDescent="0.3">
      <c r="F36" s="41"/>
      <c r="G36" s="42"/>
    </row>
    <row r="37" spans="6:7" x14ac:dyDescent="0.3">
      <c r="F37" s="41"/>
      <c r="G37" s="42"/>
    </row>
    <row r="38" spans="6:7" x14ac:dyDescent="0.3">
      <c r="F38" s="41"/>
      <c r="G38" s="42"/>
    </row>
  </sheetData>
  <mergeCells count="5">
    <mergeCell ref="G14:G18"/>
    <mergeCell ref="G19:G23"/>
    <mergeCell ref="G24:G28"/>
    <mergeCell ref="G29:G33"/>
    <mergeCell ref="G34:G38"/>
  </mergeCells>
  <conditionalFormatting sqref="F2:F11">
    <cfRule type="cellIs" dxfId="34" priority="18" operator="between">
      <formula>20.01</formula>
      <formula>25</formula>
    </cfRule>
    <cfRule type="cellIs" dxfId="33" priority="19" operator="between">
      <formula>15.01</formula>
      <formula>20</formula>
    </cfRule>
    <cfRule type="cellIs" dxfId="32" priority="20" operator="between">
      <formula>10.01</formula>
      <formula>15</formula>
    </cfRule>
    <cfRule type="cellIs" dxfId="31" priority="21" operator="between">
      <formula>5.01</formula>
      <formula>10</formula>
    </cfRule>
    <cfRule type="cellIs" dxfId="30" priority="22" operator="between">
      <formula>0.1</formula>
      <formula>5</formula>
    </cfRule>
  </conditionalFormatting>
  <conditionalFormatting sqref="J2:J11">
    <cfRule type="cellIs" dxfId="29" priority="13" operator="between">
      <formula>21</formula>
      <formula>25</formula>
    </cfRule>
    <cfRule type="cellIs" dxfId="28" priority="14" operator="between">
      <formula>16</formula>
      <formula>20</formula>
    </cfRule>
    <cfRule type="cellIs" dxfId="27" priority="15" operator="between">
      <formula>11</formula>
      <formula>15</formula>
    </cfRule>
    <cfRule type="cellIs" dxfId="26" priority="16" operator="between">
      <formula>6</formula>
      <formula>10</formula>
    </cfRule>
    <cfRule type="cellIs" dxfId="25" priority="17" operator="between">
      <formula>1</formula>
      <formula>5</formula>
    </cfRule>
  </conditionalFormatting>
  <conditionalFormatting sqref="F12">
    <cfRule type="cellIs" dxfId="24" priority="8" operator="between">
      <formula>21</formula>
      <formula>25</formula>
    </cfRule>
    <cfRule type="cellIs" dxfId="23" priority="9" operator="between">
      <formula>16</formula>
      <formula>20</formula>
    </cfRule>
    <cfRule type="cellIs" dxfId="22" priority="10" operator="between">
      <formula>11</formula>
      <formula>15</formula>
    </cfRule>
    <cfRule type="cellIs" dxfId="21" priority="11" operator="between">
      <formula>6</formula>
      <formula>10</formula>
    </cfRule>
    <cfRule type="cellIs" dxfId="20" priority="12" operator="between">
      <formula>1</formula>
      <formula>5</formula>
    </cfRule>
  </conditionalFormatting>
  <conditionalFormatting sqref="J12">
    <cfRule type="cellIs" dxfId="19" priority="3" operator="between">
      <formula>21</formula>
      <formula>25</formula>
    </cfRule>
    <cfRule type="cellIs" dxfId="18" priority="4" operator="between">
      <formula>16</formula>
      <formula>20</formula>
    </cfRule>
    <cfRule type="cellIs" dxfId="17" priority="5" operator="between">
      <formula>11</formula>
      <formula>15</formula>
    </cfRule>
    <cfRule type="cellIs" dxfId="16" priority="6" operator="between">
      <formula>6</formula>
      <formula>10</formula>
    </cfRule>
    <cfRule type="cellIs" dxfId="15" priority="7" operator="between">
      <formula>1</formula>
      <formula>5</formula>
    </cfRule>
  </conditionalFormatting>
  <dataValidations count="1">
    <dataValidation type="decimal" allowBlank="1" showErrorMessage="1" errorTitle="Недопустимое значение" error="Вероятность риска можно оценивать по шкале от 0 до 5 с точностью до 0,1" sqref="D2:D12">
      <formula1>0</formula1>
      <formula2>5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903C598-A667-4E25-8CF9-F3BCBDC9AC39}">
            <x14:iconSet iconSet="4Arrows" custom="1">
              <x14:cfvo type="percent">
                <xm:f>0</xm:f>
              </x14:cfvo>
              <x14:cfvo type="num">
                <xm:f>$F$2</xm:f>
              </x14:cfvo>
              <x14:cfvo type="percent">
                <xm:f>50</xm:f>
              </x14:cfvo>
              <x14:cfvo type="num">
                <xm:f>$F$4</xm:f>
              </x14:cfvo>
              <x14:cfIcon iconSet="3Arrows" iconId="2"/>
              <x14:cfIcon iconSet="NoIcons" iconId="0"/>
              <x14:cfIcon iconSet="NoIcons" iconId="0"/>
              <x14:cfIcon iconSet="3Arrows" iconId="0"/>
            </x14:iconSet>
          </x14:cfRule>
          <xm:sqref>C2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L40"/>
  <sheetViews>
    <sheetView topLeftCell="A16" workbookViewId="0">
      <selection activeCell="K32" sqref="K32"/>
    </sheetView>
  </sheetViews>
  <sheetFormatPr defaultColWidth="8.77734375" defaultRowHeight="14.4" x14ac:dyDescent="0.3"/>
  <cols>
    <col min="1" max="1" width="8.77734375" style="20"/>
    <col min="2" max="2" width="30.6640625" customWidth="1"/>
    <col min="3" max="6" width="15.6640625" customWidth="1"/>
    <col min="7" max="7" width="16.77734375" customWidth="1"/>
    <col min="8" max="9" width="15.6640625" customWidth="1"/>
    <col min="12" max="12" width="14.33203125" customWidth="1"/>
  </cols>
  <sheetData>
    <row r="1" spans="1:12" ht="25.05" customHeight="1" x14ac:dyDescent="0.3"/>
    <row r="2" spans="1:12" ht="25.05" customHeight="1" x14ac:dyDescent="0.35">
      <c r="H2" s="35"/>
      <c r="I2" s="35"/>
      <c r="K2" s="3">
        <v>1</v>
      </c>
      <c r="L2" s="3" t="s">
        <v>2</v>
      </c>
    </row>
    <row r="3" spans="1:12" ht="25.05" customHeight="1" x14ac:dyDescent="0.35">
      <c r="H3" s="35"/>
      <c r="I3" s="35"/>
      <c r="K3" s="4">
        <v>2</v>
      </c>
      <c r="L3" s="4" t="s">
        <v>3</v>
      </c>
    </row>
    <row r="4" spans="1:12" ht="25.05" customHeight="1" x14ac:dyDescent="0.35">
      <c r="H4" s="35"/>
      <c r="I4" s="35"/>
      <c r="K4" s="5">
        <v>3</v>
      </c>
      <c r="L4" s="5" t="s">
        <v>4</v>
      </c>
    </row>
    <row r="5" spans="1:12" ht="25.05" customHeight="1" x14ac:dyDescent="0.35">
      <c r="H5" s="35"/>
      <c r="I5" s="35"/>
      <c r="K5" s="7">
        <v>4</v>
      </c>
      <c r="L5" s="7" t="s">
        <v>5</v>
      </c>
    </row>
    <row r="6" spans="1:12" ht="25.05" customHeight="1" x14ac:dyDescent="0.35">
      <c r="H6" s="35"/>
      <c r="I6" s="35"/>
      <c r="K6" s="6">
        <v>5</v>
      </c>
      <c r="L6" s="6" t="s">
        <v>6</v>
      </c>
    </row>
    <row r="7" spans="1:12" ht="25.05" customHeight="1" x14ac:dyDescent="0.3"/>
    <row r="8" spans="1:12" ht="25.05" customHeight="1" x14ac:dyDescent="0.3"/>
    <row r="9" spans="1:12" ht="25.05" customHeight="1" x14ac:dyDescent="0.3"/>
    <row r="10" spans="1:12" ht="25.05" customHeight="1" x14ac:dyDescent="0.3"/>
    <row r="11" spans="1:12" ht="25.05" customHeight="1" x14ac:dyDescent="0.3"/>
    <row r="12" spans="1:12" ht="22.8" customHeight="1" x14ac:dyDescent="0.35">
      <c r="A12" s="34" t="s">
        <v>26</v>
      </c>
      <c r="B12" s="34"/>
      <c r="C12" s="34"/>
      <c r="D12" s="34"/>
      <c r="E12" s="34"/>
      <c r="F12" s="34"/>
      <c r="G12" s="34"/>
      <c r="H12" s="34"/>
      <c r="I12" s="34"/>
    </row>
    <row r="13" spans="1:12" s="33" customFormat="1" ht="46.8" x14ac:dyDescent="0.3">
      <c r="A13" s="36" t="s">
        <v>0</v>
      </c>
      <c r="B13" s="36" t="s">
        <v>1</v>
      </c>
      <c r="C13" s="36" t="s">
        <v>13</v>
      </c>
      <c r="D13" s="36" t="s">
        <v>14</v>
      </c>
      <c r="E13" s="36" t="s">
        <v>15</v>
      </c>
      <c r="F13" s="36" t="s">
        <v>18</v>
      </c>
      <c r="G13" s="36" t="s">
        <v>25</v>
      </c>
      <c r="H13" s="36" t="s">
        <v>16</v>
      </c>
      <c r="I13" s="36" t="s">
        <v>17</v>
      </c>
    </row>
    <row r="14" spans="1:12" ht="42.6" customHeight="1" x14ac:dyDescent="0.3">
      <c r="A14" s="13">
        <v>1</v>
      </c>
      <c r="B14" s="23" t="str">
        <f>'Пример 1 - Риски'!B2</f>
        <v>Кол-во негативных обращений на портал после вредрения выросло на 30%</v>
      </c>
      <c r="C14" s="31">
        <v>1</v>
      </c>
      <c r="D14" s="31">
        <v>3</v>
      </c>
      <c r="E14" s="31">
        <v>4</v>
      </c>
      <c r="F14" s="31">
        <v>2</v>
      </c>
      <c r="G14" s="31">
        <v>1</v>
      </c>
      <c r="H14" s="31">
        <v>4</v>
      </c>
      <c r="I14" s="30">
        <f t="shared" ref="I14:I24" si="0">ROUND(AVERAGE(C14:H14),1)</f>
        <v>2.5</v>
      </c>
    </row>
    <row r="15" spans="1:12" ht="41.4" x14ac:dyDescent="0.3">
      <c r="A15" s="13">
        <v>2</v>
      </c>
      <c r="B15" s="23" t="str">
        <f>'Пример 1 - Риски'!B3</f>
        <v>Несоответствие разработанного и требуемого пользовательского интерфейса</v>
      </c>
      <c r="C15" s="31">
        <v>3</v>
      </c>
      <c r="D15" s="31">
        <v>4</v>
      </c>
      <c r="E15" s="31">
        <v>2</v>
      </c>
      <c r="F15" s="31">
        <v>2</v>
      </c>
      <c r="G15" s="31">
        <v>2</v>
      </c>
      <c r="H15" s="31">
        <v>5</v>
      </c>
      <c r="I15" s="30">
        <f t="shared" si="0"/>
        <v>3</v>
      </c>
    </row>
    <row r="16" spans="1:12" ht="27.6" x14ac:dyDescent="0.3">
      <c r="A16" s="13">
        <v>3</v>
      </c>
      <c r="B16" s="23" t="str">
        <f>'Пример 1 - Риски'!B4</f>
        <v>Проблемы в задачах, выполняемых внешними подрядчиками</v>
      </c>
      <c r="C16" s="31">
        <v>3</v>
      </c>
      <c r="D16" s="31">
        <v>3</v>
      </c>
      <c r="E16" s="31">
        <v>3</v>
      </c>
      <c r="F16" s="31">
        <v>4</v>
      </c>
      <c r="G16" s="31">
        <v>4</v>
      </c>
      <c r="H16" s="31">
        <v>5</v>
      </c>
      <c r="I16" s="30">
        <f t="shared" si="0"/>
        <v>3.7</v>
      </c>
    </row>
    <row r="17" spans="1:9" x14ac:dyDescent="0.3">
      <c r="A17" s="13">
        <v>4</v>
      </c>
      <c r="B17" s="23">
        <f>'Пример 1 - Риски'!B5</f>
        <v>0</v>
      </c>
      <c r="C17" s="31"/>
      <c r="D17" s="31"/>
      <c r="E17" s="31"/>
      <c r="F17" s="31"/>
      <c r="G17" s="31"/>
      <c r="H17" s="31"/>
      <c r="I17" s="30" t="e">
        <f t="shared" si="0"/>
        <v>#DIV/0!</v>
      </c>
    </row>
    <row r="18" spans="1:9" x14ac:dyDescent="0.3">
      <c r="A18" s="13">
        <v>5</v>
      </c>
      <c r="B18" s="23">
        <f>'Пример 1 - Риски'!B6</f>
        <v>0</v>
      </c>
      <c r="C18" s="31"/>
      <c r="D18" s="31"/>
      <c r="E18" s="31"/>
      <c r="F18" s="31"/>
      <c r="G18" s="31"/>
      <c r="H18" s="31"/>
      <c r="I18" s="30" t="e">
        <f t="shared" si="0"/>
        <v>#DIV/0!</v>
      </c>
    </row>
    <row r="19" spans="1:9" x14ac:dyDescent="0.3">
      <c r="A19" s="13">
        <v>6</v>
      </c>
      <c r="B19" s="23">
        <f>'Пример 1 - Риски'!B7</f>
        <v>0</v>
      </c>
      <c r="C19" s="31"/>
      <c r="D19" s="31"/>
      <c r="E19" s="31"/>
      <c r="F19" s="31"/>
      <c r="G19" s="31"/>
      <c r="H19" s="31"/>
      <c r="I19" s="30" t="e">
        <f t="shared" si="0"/>
        <v>#DIV/0!</v>
      </c>
    </row>
    <row r="20" spans="1:9" x14ac:dyDescent="0.3">
      <c r="A20" s="13">
        <v>7</v>
      </c>
      <c r="B20" s="23">
        <f>'Пример 1 - Риски'!B8</f>
        <v>0</v>
      </c>
      <c r="C20" s="31"/>
      <c r="D20" s="31"/>
      <c r="E20" s="31"/>
      <c r="F20" s="31"/>
      <c r="G20" s="31"/>
      <c r="H20" s="31"/>
      <c r="I20" s="30" t="e">
        <f t="shared" si="0"/>
        <v>#DIV/0!</v>
      </c>
    </row>
    <row r="21" spans="1:9" x14ac:dyDescent="0.3">
      <c r="A21" s="13">
        <v>8</v>
      </c>
      <c r="B21" s="23">
        <f>'Пример 1 - Риски'!B9</f>
        <v>0</v>
      </c>
      <c r="C21" s="31"/>
      <c r="D21" s="31"/>
      <c r="E21" s="31"/>
      <c r="F21" s="31"/>
      <c r="G21" s="31"/>
      <c r="H21" s="31"/>
      <c r="I21" s="30" t="e">
        <f t="shared" si="0"/>
        <v>#DIV/0!</v>
      </c>
    </row>
    <row r="22" spans="1:9" x14ac:dyDescent="0.3">
      <c r="A22" s="13">
        <v>9</v>
      </c>
      <c r="B22" s="23">
        <f>'Пример 1 - Риски'!B10</f>
        <v>0</v>
      </c>
      <c r="C22" s="31"/>
      <c r="D22" s="31"/>
      <c r="E22" s="31"/>
      <c r="F22" s="31"/>
      <c r="G22" s="31"/>
      <c r="H22" s="31"/>
      <c r="I22" s="30" t="e">
        <f t="shared" si="0"/>
        <v>#DIV/0!</v>
      </c>
    </row>
    <row r="23" spans="1:9" x14ac:dyDescent="0.3">
      <c r="A23" s="13">
        <v>10</v>
      </c>
      <c r="B23" s="23">
        <f>'Пример 1 - Риски'!B11</f>
        <v>0</v>
      </c>
      <c r="C23" s="31"/>
      <c r="D23" s="31"/>
      <c r="E23" s="31"/>
      <c r="F23" s="31"/>
      <c r="G23" s="31"/>
      <c r="H23" s="31"/>
      <c r="I23" s="30" t="e">
        <f t="shared" si="0"/>
        <v>#DIV/0!</v>
      </c>
    </row>
    <row r="24" spans="1:9" x14ac:dyDescent="0.3">
      <c r="A24" s="13">
        <v>11</v>
      </c>
      <c r="B24" s="23">
        <f>'Пример 1 - Риски'!B12</f>
        <v>0</v>
      </c>
      <c r="C24" s="31"/>
      <c r="D24" s="31"/>
      <c r="E24" s="31"/>
      <c r="F24" s="31"/>
      <c r="G24" s="31"/>
      <c r="H24" s="31"/>
      <c r="I24" s="30" t="e">
        <f t="shared" si="0"/>
        <v>#DIV/0!</v>
      </c>
    </row>
    <row r="28" spans="1:9" ht="18" x14ac:dyDescent="0.35">
      <c r="A28" s="32" t="s">
        <v>27</v>
      </c>
      <c r="B28" s="32"/>
      <c r="C28" s="32"/>
      <c r="D28" s="32"/>
      <c r="E28" s="32"/>
      <c r="F28" s="32"/>
      <c r="G28" s="32"/>
      <c r="H28" s="32"/>
      <c r="I28" s="32"/>
    </row>
    <row r="29" spans="1:9" s="38" customFormat="1" ht="46.8" x14ac:dyDescent="0.3">
      <c r="A29" s="36" t="s">
        <v>0</v>
      </c>
      <c r="B29" s="36" t="s">
        <v>1</v>
      </c>
      <c r="C29" s="36" t="s">
        <v>13</v>
      </c>
      <c r="D29" s="36" t="s">
        <v>14</v>
      </c>
      <c r="E29" s="36" t="s">
        <v>15</v>
      </c>
      <c r="F29" s="36" t="s">
        <v>18</v>
      </c>
      <c r="G29" s="36" t="s">
        <v>25</v>
      </c>
      <c r="H29" s="36" t="s">
        <v>16</v>
      </c>
      <c r="I29" s="37" t="s">
        <v>17</v>
      </c>
    </row>
    <row r="30" spans="1:9" ht="50.4" customHeight="1" x14ac:dyDescent="0.3">
      <c r="A30" s="13">
        <v>1</v>
      </c>
      <c r="B30" s="11" t="str">
        <f>'Пример 1 - Риски'!B2</f>
        <v>Кол-во негативных обращений на портал после вредрения выросло на 30%</v>
      </c>
      <c r="C30" s="31">
        <v>1</v>
      </c>
      <c r="D30" s="31">
        <v>1</v>
      </c>
      <c r="E30" s="31">
        <v>2</v>
      </c>
      <c r="F30" s="31">
        <v>2</v>
      </c>
      <c r="G30" s="31">
        <v>1</v>
      </c>
      <c r="H30" s="31">
        <v>2</v>
      </c>
      <c r="I30" s="30">
        <f t="shared" ref="I30:I40" si="1">ROUND(AVERAGE(C30:H30),1)</f>
        <v>1.5</v>
      </c>
    </row>
    <row r="31" spans="1:9" ht="52.2" customHeight="1" x14ac:dyDescent="0.3">
      <c r="A31" s="13">
        <v>2</v>
      </c>
      <c r="B31" s="11" t="str">
        <f>'Пример 1 - Риски'!B3</f>
        <v>Несоответствие разработанного и требуемого пользовательского интерфейса</v>
      </c>
      <c r="C31" s="31">
        <v>2</v>
      </c>
      <c r="D31" s="31">
        <v>2</v>
      </c>
      <c r="E31" s="31">
        <v>2</v>
      </c>
      <c r="F31" s="31">
        <v>2</v>
      </c>
      <c r="G31" s="31">
        <v>1</v>
      </c>
      <c r="H31" s="31">
        <v>2</v>
      </c>
      <c r="I31" s="30">
        <f t="shared" si="1"/>
        <v>1.8</v>
      </c>
    </row>
    <row r="32" spans="1:9" ht="36" customHeight="1" x14ac:dyDescent="0.3">
      <c r="A32" s="13">
        <v>3</v>
      </c>
      <c r="B32" s="11" t="str">
        <f>'Пример 1 - Риски'!B4</f>
        <v>Проблемы в задачах, выполняемых внешними подрядчиками</v>
      </c>
      <c r="C32" s="31">
        <v>2</v>
      </c>
      <c r="D32" s="31">
        <v>2</v>
      </c>
      <c r="E32" s="31">
        <v>3</v>
      </c>
      <c r="F32" s="31">
        <v>3</v>
      </c>
      <c r="G32" s="31">
        <v>2</v>
      </c>
      <c r="H32" s="31">
        <v>2</v>
      </c>
      <c r="I32" s="30">
        <f t="shared" si="1"/>
        <v>2.2999999999999998</v>
      </c>
    </row>
    <row r="33" spans="1:9" x14ac:dyDescent="0.3">
      <c r="A33" s="13">
        <v>4</v>
      </c>
      <c r="B33" s="11">
        <f>'Пример 1 - Риски'!B5</f>
        <v>0</v>
      </c>
      <c r="C33" s="31"/>
      <c r="D33" s="31"/>
      <c r="E33" s="31"/>
      <c r="F33" s="31"/>
      <c r="G33" s="31"/>
      <c r="H33" s="31"/>
      <c r="I33" s="30" t="e">
        <f t="shared" si="1"/>
        <v>#DIV/0!</v>
      </c>
    </row>
    <row r="34" spans="1:9" x14ac:dyDescent="0.3">
      <c r="A34" s="13">
        <v>5</v>
      </c>
      <c r="B34" s="11">
        <f>'Пример 1 - Риски'!B6</f>
        <v>0</v>
      </c>
      <c r="C34" s="31"/>
      <c r="D34" s="31"/>
      <c r="E34" s="31"/>
      <c r="F34" s="31"/>
      <c r="G34" s="31"/>
      <c r="H34" s="31"/>
      <c r="I34" s="30" t="e">
        <f t="shared" si="1"/>
        <v>#DIV/0!</v>
      </c>
    </row>
    <row r="35" spans="1:9" x14ac:dyDescent="0.3">
      <c r="A35" s="13">
        <v>6</v>
      </c>
      <c r="B35" s="11">
        <f>'Пример 1 - Риски'!B7</f>
        <v>0</v>
      </c>
      <c r="C35" s="31"/>
      <c r="D35" s="31"/>
      <c r="E35" s="31"/>
      <c r="F35" s="31"/>
      <c r="G35" s="31"/>
      <c r="H35" s="31"/>
      <c r="I35" s="30" t="e">
        <f t="shared" si="1"/>
        <v>#DIV/0!</v>
      </c>
    </row>
    <row r="36" spans="1:9" x14ac:dyDescent="0.3">
      <c r="A36" s="13">
        <v>7</v>
      </c>
      <c r="B36" s="11">
        <f>'Пример 1 - Риски'!B8</f>
        <v>0</v>
      </c>
      <c r="C36" s="31"/>
      <c r="D36" s="31"/>
      <c r="E36" s="31"/>
      <c r="F36" s="31"/>
      <c r="G36" s="31"/>
      <c r="H36" s="31"/>
      <c r="I36" s="30" t="e">
        <f t="shared" si="1"/>
        <v>#DIV/0!</v>
      </c>
    </row>
    <row r="37" spans="1:9" x14ac:dyDescent="0.3">
      <c r="A37" s="13">
        <v>8</v>
      </c>
      <c r="B37" s="11">
        <f>'Пример 1 - Риски'!B9</f>
        <v>0</v>
      </c>
      <c r="C37" s="31"/>
      <c r="D37" s="31"/>
      <c r="E37" s="31"/>
      <c r="F37" s="31"/>
      <c r="G37" s="31"/>
      <c r="H37" s="31"/>
      <c r="I37" s="30" t="e">
        <f t="shared" si="1"/>
        <v>#DIV/0!</v>
      </c>
    </row>
    <row r="38" spans="1:9" x14ac:dyDescent="0.3">
      <c r="A38" s="13">
        <v>9</v>
      </c>
      <c r="B38" s="11">
        <f>'Пример 1 - Риски'!B10</f>
        <v>0</v>
      </c>
      <c r="C38" s="31"/>
      <c r="D38" s="31"/>
      <c r="E38" s="31"/>
      <c r="F38" s="31"/>
      <c r="G38" s="31"/>
      <c r="H38" s="31"/>
      <c r="I38" s="30" t="e">
        <f t="shared" si="1"/>
        <v>#DIV/0!</v>
      </c>
    </row>
    <row r="39" spans="1:9" x14ac:dyDescent="0.3">
      <c r="A39" s="13">
        <v>10</v>
      </c>
      <c r="B39" s="11">
        <f>'Пример 1 - Риски'!B11</f>
        <v>0</v>
      </c>
      <c r="C39" s="31"/>
      <c r="D39" s="31"/>
      <c r="E39" s="31"/>
      <c r="F39" s="31"/>
      <c r="G39" s="31"/>
      <c r="H39" s="31"/>
      <c r="I39" s="30" t="e">
        <f t="shared" si="1"/>
        <v>#DIV/0!</v>
      </c>
    </row>
    <row r="40" spans="1:9" x14ac:dyDescent="0.3">
      <c r="A40" s="13">
        <v>11</v>
      </c>
      <c r="B40" s="11">
        <f>'Пример 1 - Риски'!B12</f>
        <v>0</v>
      </c>
      <c r="C40" s="31"/>
      <c r="D40" s="31"/>
      <c r="E40" s="31"/>
      <c r="F40" s="31"/>
      <c r="G40" s="31"/>
      <c r="H40" s="31"/>
      <c r="I40" s="30" t="e">
        <f t="shared" si="1"/>
        <v>#DIV/0!</v>
      </c>
    </row>
  </sheetData>
  <mergeCells count="2">
    <mergeCell ref="A12:I12"/>
    <mergeCell ref="A28:I28"/>
  </mergeCells>
  <conditionalFormatting sqref="I15:I24">
    <cfRule type="cellIs" dxfId="14" priority="11" operator="between">
      <formula>4</formula>
      <formula>5</formula>
    </cfRule>
    <cfRule type="cellIs" dxfId="13" priority="12" operator="between">
      <formula>3</formula>
      <formula>4</formula>
    </cfRule>
    <cfRule type="cellIs" dxfId="12" priority="13" operator="between">
      <formula>2</formula>
      <formula>3</formula>
    </cfRule>
    <cfRule type="cellIs" dxfId="11" priority="14" operator="between">
      <formula>0</formula>
      <formula>1</formula>
    </cfRule>
    <cfRule type="cellIs" dxfId="10" priority="15" operator="between">
      <formula>1</formula>
      <formula>2</formula>
    </cfRule>
  </conditionalFormatting>
  <conditionalFormatting sqref="I30:I40">
    <cfRule type="cellIs" dxfId="9" priority="6" operator="between">
      <formula>4</formula>
      <formula>5</formula>
    </cfRule>
    <cfRule type="cellIs" dxfId="8" priority="7" operator="between">
      <formula>3</formula>
      <formula>4</formula>
    </cfRule>
    <cfRule type="cellIs" dxfId="7" priority="8" operator="between">
      <formula>2</formula>
      <formula>3</formula>
    </cfRule>
    <cfRule type="cellIs" dxfId="6" priority="9" operator="between">
      <formula>0</formula>
      <formula>1</formula>
    </cfRule>
    <cfRule type="cellIs" dxfId="5" priority="10" operator="between">
      <formula>1</formula>
      <formula>2</formula>
    </cfRule>
  </conditionalFormatting>
  <conditionalFormatting sqref="I14">
    <cfRule type="cellIs" dxfId="4" priority="1" operator="between">
      <formula>4</formula>
      <formula>5</formula>
    </cfRule>
    <cfRule type="cellIs" dxfId="3" priority="2" operator="between">
      <formula>3</formula>
      <formula>4</formula>
    </cfRule>
    <cfRule type="cellIs" dxfId="2" priority="3" operator="between">
      <formula>2</formula>
      <formula>3</formula>
    </cfRule>
    <cfRule type="cellIs" dxfId="1" priority="4" operator="between">
      <formula>0</formula>
      <formula>1</formula>
    </cfRule>
    <cfRule type="cellIs" dxfId="0" priority="5" operator="between">
      <formula>1</formula>
      <formula>2</formula>
    </cfRule>
  </conditionalFormatting>
  <dataValidations count="1">
    <dataValidation type="list" operator="notBetween" allowBlank="1" showErrorMessage="1" errorTitle="Допустимый диапазон 1-5" error="ошибка ввода" sqref="C14:H24 C30:H40">
      <formula1>$K$2:$K$6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J38"/>
  <sheetViews>
    <sheetView tabSelected="1" zoomScaleNormal="100" workbookViewId="0">
      <selection activeCell="D14" sqref="D14"/>
    </sheetView>
  </sheetViews>
  <sheetFormatPr defaultColWidth="8.77734375" defaultRowHeight="14.4" x14ac:dyDescent="0.3"/>
  <cols>
    <col min="1" max="1" width="8.77734375" style="14"/>
    <col min="2" max="2" width="32.33203125" customWidth="1"/>
    <col min="3" max="3" width="37.88671875" customWidth="1"/>
    <col min="4" max="4" width="15" style="14" customWidth="1"/>
    <col min="5" max="6" width="13.6640625" style="14" customWidth="1"/>
    <col min="7" max="7" width="40.6640625" customWidth="1"/>
    <col min="8" max="10" width="13.6640625" style="14" customWidth="1"/>
  </cols>
  <sheetData>
    <row r="1" spans="1:10" s="2" customFormat="1" ht="93.6" x14ac:dyDescent="0.3">
      <c r="A1" s="36" t="s">
        <v>0</v>
      </c>
      <c r="B1" s="36" t="s">
        <v>20</v>
      </c>
      <c r="C1" s="36" t="s">
        <v>21</v>
      </c>
      <c r="D1" s="36" t="s">
        <v>8</v>
      </c>
      <c r="E1" s="36" t="s">
        <v>9</v>
      </c>
      <c r="F1" s="36" t="s">
        <v>29</v>
      </c>
      <c r="G1" s="36" t="s">
        <v>19</v>
      </c>
      <c r="H1" s="36" t="s">
        <v>10</v>
      </c>
      <c r="I1" s="36" t="s">
        <v>11</v>
      </c>
      <c r="J1" s="36" t="s">
        <v>29</v>
      </c>
    </row>
    <row r="2" spans="1:10" s="8" customFormat="1" x14ac:dyDescent="0.3">
      <c r="A2" s="21">
        <v>1</v>
      </c>
      <c r="B2" s="22"/>
      <c r="C2" s="22"/>
      <c r="D2" s="39"/>
      <c r="E2" s="39" t="e">
        <f>'СРС 2 - Влияние'!I14</f>
        <v>#DIV/0!</v>
      </c>
      <c r="F2" s="39" t="e">
        <f>D2*E2</f>
        <v>#DIV/0!</v>
      </c>
      <c r="G2" s="11"/>
      <c r="H2" s="13"/>
      <c r="I2" s="29" t="e">
        <f>'СРС 2 - Влияние'!I30</f>
        <v>#DIV/0!</v>
      </c>
      <c r="J2" s="29" t="e">
        <f>H2*I2</f>
        <v>#DIV/0!</v>
      </c>
    </row>
    <row r="3" spans="1:10" s="8" customFormat="1" x14ac:dyDescent="0.3">
      <c r="A3" s="21">
        <v>2</v>
      </c>
      <c r="B3" s="23"/>
      <c r="C3" s="22"/>
      <c r="D3" s="39"/>
      <c r="E3" s="39" t="e">
        <f>'СРС 2 - Влияние'!I15</f>
        <v>#DIV/0!</v>
      </c>
      <c r="F3" s="39" t="e">
        <f t="shared" ref="F3:F11" si="0">D3*E3</f>
        <v>#DIV/0!</v>
      </c>
      <c r="G3" s="11"/>
      <c r="H3" s="13"/>
      <c r="I3" s="29" t="e">
        <f>'СРС 2 - Влияние'!I31</f>
        <v>#DIV/0!</v>
      </c>
      <c r="J3" s="29" t="e">
        <f t="shared" ref="J3:J11" si="1">H3*I3</f>
        <v>#DIV/0!</v>
      </c>
    </row>
    <row r="4" spans="1:10" s="10" customFormat="1" x14ac:dyDescent="0.3">
      <c r="A4" s="21">
        <v>3</v>
      </c>
      <c r="B4" s="23"/>
      <c r="C4" s="22"/>
      <c r="D4" s="39"/>
      <c r="E4" s="39" t="e">
        <f>'СРС 2 - Влияние'!I16</f>
        <v>#DIV/0!</v>
      </c>
      <c r="F4" s="39" t="e">
        <f t="shared" si="0"/>
        <v>#DIV/0!</v>
      </c>
      <c r="G4" s="11"/>
      <c r="H4" s="13"/>
      <c r="I4" s="29" t="e">
        <f>'СРС 2 - Влияние'!I32</f>
        <v>#DIV/0!</v>
      </c>
      <c r="J4" s="29" t="e">
        <f t="shared" si="1"/>
        <v>#DIV/0!</v>
      </c>
    </row>
    <row r="5" spans="1:10" x14ac:dyDescent="0.3">
      <c r="A5" s="21">
        <v>4</v>
      </c>
      <c r="B5" s="23"/>
      <c r="C5" s="22"/>
      <c r="D5" s="39"/>
      <c r="E5" s="39" t="e">
        <f>'СРС 2 - Влияние'!I17</f>
        <v>#DIV/0!</v>
      </c>
      <c r="F5" s="39" t="e">
        <f t="shared" si="0"/>
        <v>#DIV/0!</v>
      </c>
      <c r="G5" s="11"/>
      <c r="H5" s="13"/>
      <c r="I5" s="29" t="e">
        <f>'СРС 2 - Влияние'!I33</f>
        <v>#DIV/0!</v>
      </c>
      <c r="J5" s="29" t="e">
        <f t="shared" si="1"/>
        <v>#DIV/0!</v>
      </c>
    </row>
    <row r="6" spans="1:10" x14ac:dyDescent="0.3">
      <c r="A6" s="21">
        <v>5</v>
      </c>
      <c r="B6" s="23"/>
      <c r="C6" s="22"/>
      <c r="D6" s="39"/>
      <c r="E6" s="39" t="e">
        <f>'СРС 2 - Влияние'!I18</f>
        <v>#DIV/0!</v>
      </c>
      <c r="F6" s="39" t="e">
        <f t="shared" si="0"/>
        <v>#DIV/0!</v>
      </c>
      <c r="G6" s="11"/>
      <c r="H6" s="13"/>
      <c r="I6" s="29" t="e">
        <f>'СРС 2 - Влияние'!I34</f>
        <v>#DIV/0!</v>
      </c>
      <c r="J6" s="29" t="e">
        <f t="shared" si="1"/>
        <v>#DIV/0!</v>
      </c>
    </row>
    <row r="7" spans="1:10" s="10" customFormat="1" x14ac:dyDescent="0.3">
      <c r="A7" s="21">
        <v>6</v>
      </c>
      <c r="B7" s="23"/>
      <c r="C7" s="22"/>
      <c r="D7" s="39"/>
      <c r="E7" s="39" t="e">
        <f>'СРС 2 - Влияние'!I19</f>
        <v>#DIV/0!</v>
      </c>
      <c r="F7" s="39" t="e">
        <f t="shared" si="0"/>
        <v>#DIV/0!</v>
      </c>
      <c r="G7" s="11"/>
      <c r="H7" s="13"/>
      <c r="I7" s="29" t="e">
        <f>'СРС 2 - Влияние'!I35</f>
        <v>#DIV/0!</v>
      </c>
      <c r="J7" s="29" t="e">
        <f t="shared" si="1"/>
        <v>#DIV/0!</v>
      </c>
    </row>
    <row r="8" spans="1:10" x14ac:dyDescent="0.3">
      <c r="A8" s="21">
        <v>7</v>
      </c>
      <c r="B8" s="23"/>
      <c r="C8" s="22"/>
      <c r="D8" s="39"/>
      <c r="E8" s="39" t="e">
        <f>'СРС 2 - Влияние'!I20</f>
        <v>#DIV/0!</v>
      </c>
      <c r="F8" s="39" t="e">
        <f t="shared" si="0"/>
        <v>#DIV/0!</v>
      </c>
      <c r="G8" s="11"/>
      <c r="H8" s="13"/>
      <c r="I8" s="29" t="e">
        <f>'СРС 2 - Влияние'!I36</f>
        <v>#DIV/0!</v>
      </c>
      <c r="J8" s="29" t="e">
        <f t="shared" si="1"/>
        <v>#DIV/0!</v>
      </c>
    </row>
    <row r="9" spans="1:10" s="9" customFormat="1" x14ac:dyDescent="0.3">
      <c r="A9" s="21">
        <v>8</v>
      </c>
      <c r="B9" s="25"/>
      <c r="C9" s="22"/>
      <c r="D9" s="39"/>
      <c r="E9" s="39" t="e">
        <f>'СРС 2 - Влияние'!I21</f>
        <v>#DIV/0!</v>
      </c>
      <c r="F9" s="39" t="e">
        <f t="shared" si="0"/>
        <v>#DIV/0!</v>
      </c>
      <c r="G9" s="11"/>
      <c r="H9" s="13"/>
      <c r="I9" s="29" t="e">
        <f>'СРС 2 - Влияние'!I37</f>
        <v>#DIV/0!</v>
      </c>
      <c r="J9" s="29" t="e">
        <f t="shared" si="1"/>
        <v>#DIV/0!</v>
      </c>
    </row>
    <row r="10" spans="1:10" x14ac:dyDescent="0.3">
      <c r="A10" s="21">
        <v>9</v>
      </c>
      <c r="B10" s="23"/>
      <c r="C10" s="22"/>
      <c r="D10" s="39"/>
      <c r="E10" s="39" t="e">
        <f>'СРС 2 - Влияние'!I22</f>
        <v>#DIV/0!</v>
      </c>
      <c r="F10" s="39" t="e">
        <f t="shared" si="0"/>
        <v>#DIV/0!</v>
      </c>
      <c r="G10" s="11"/>
      <c r="H10" s="13"/>
      <c r="I10" s="29" t="e">
        <f>'СРС 2 - Влияние'!I38</f>
        <v>#DIV/0!</v>
      </c>
      <c r="J10" s="29" t="e">
        <f t="shared" si="1"/>
        <v>#DIV/0!</v>
      </c>
    </row>
    <row r="11" spans="1:10" x14ac:dyDescent="0.3">
      <c r="A11" s="21">
        <v>10</v>
      </c>
      <c r="B11" s="23"/>
      <c r="C11" s="22"/>
      <c r="D11" s="39"/>
      <c r="E11" s="39" t="e">
        <f>'СРС 2 - Влияние'!I23</f>
        <v>#DIV/0!</v>
      </c>
      <c r="F11" s="39" t="e">
        <f t="shared" si="0"/>
        <v>#DIV/0!</v>
      </c>
      <c r="G11" s="11"/>
      <c r="H11" s="13"/>
      <c r="I11" s="29" t="e">
        <f>'СРС 2 - Влияние'!I39</f>
        <v>#DIV/0!</v>
      </c>
      <c r="J11" s="29" t="e">
        <f t="shared" si="1"/>
        <v>#DIV/0!</v>
      </c>
    </row>
    <row r="12" spans="1:10" x14ac:dyDescent="0.3">
      <c r="A12" s="29">
        <v>11</v>
      </c>
      <c r="B12" s="23"/>
      <c r="C12" s="11"/>
      <c r="D12" s="39"/>
      <c r="E12" s="39" t="e">
        <f>'СРС 2 - Влияние'!I24</f>
        <v>#DIV/0!</v>
      </c>
      <c r="F12" s="39" t="e">
        <f t="shared" ref="F12" si="2">D12*E12</f>
        <v>#DIV/0!</v>
      </c>
      <c r="G12" s="11"/>
      <c r="H12" s="13"/>
      <c r="I12" s="29" t="e">
        <f>'СРС 2 - Влияние'!I40</f>
        <v>#DIV/0!</v>
      </c>
      <c r="J12" s="29" t="e">
        <f t="shared" ref="J12" si="3">H12*I12</f>
        <v>#DIV/0!</v>
      </c>
    </row>
    <row r="13" spans="1:10" s="28" customFormat="1" ht="24" customHeight="1" thickBot="1" x14ac:dyDescent="0.35">
      <c r="A13" s="26"/>
      <c r="B13" s="27"/>
      <c r="D13" s="26"/>
      <c r="E13" s="26"/>
      <c r="F13" s="26"/>
      <c r="H13" s="26"/>
      <c r="I13" s="26"/>
      <c r="J13" s="26"/>
    </row>
    <row r="14" spans="1:10" ht="18" x14ac:dyDescent="0.35">
      <c r="A14" s="15">
        <v>1</v>
      </c>
      <c r="B14" s="3" t="s">
        <v>2</v>
      </c>
      <c r="F14" s="41"/>
      <c r="G14" s="42"/>
    </row>
    <row r="15" spans="1:10" ht="18" x14ac:dyDescent="0.35">
      <c r="A15" s="16">
        <v>2</v>
      </c>
      <c r="B15" s="4" t="s">
        <v>3</v>
      </c>
      <c r="F15" s="41"/>
      <c r="G15" s="42"/>
    </row>
    <row r="16" spans="1:10" ht="18" x14ac:dyDescent="0.35">
      <c r="A16" s="17">
        <v>3</v>
      </c>
      <c r="B16" s="5" t="s">
        <v>4</v>
      </c>
      <c r="F16" s="41"/>
      <c r="G16" s="42"/>
    </row>
    <row r="17" spans="1:7" ht="18" x14ac:dyDescent="0.35">
      <c r="A17" s="18">
        <v>4</v>
      </c>
      <c r="B17" s="7" t="s">
        <v>5</v>
      </c>
      <c r="F17" s="41"/>
      <c r="G17" s="42"/>
    </row>
    <row r="18" spans="1:7" ht="18" x14ac:dyDescent="0.35">
      <c r="A18" s="19">
        <v>5</v>
      </c>
      <c r="B18" s="6" t="s">
        <v>6</v>
      </c>
      <c r="F18" s="41"/>
      <c r="G18" s="42"/>
    </row>
    <row r="19" spans="1:7" x14ac:dyDescent="0.3">
      <c r="F19" s="41"/>
      <c r="G19" s="42"/>
    </row>
    <row r="20" spans="1:7" x14ac:dyDescent="0.3">
      <c r="F20" s="41"/>
      <c r="G20" s="42"/>
    </row>
    <row r="21" spans="1:7" x14ac:dyDescent="0.3">
      <c r="F21" s="41"/>
      <c r="G21" s="42"/>
    </row>
    <row r="22" spans="1:7" x14ac:dyDescent="0.3">
      <c r="F22" s="41"/>
      <c r="G22" s="42"/>
    </row>
    <row r="23" spans="1:7" x14ac:dyDescent="0.3">
      <c r="F23" s="41"/>
      <c r="G23" s="42"/>
    </row>
    <row r="24" spans="1:7" x14ac:dyDescent="0.3">
      <c r="F24" s="41"/>
      <c r="G24" s="42"/>
    </row>
    <row r="25" spans="1:7" x14ac:dyDescent="0.3">
      <c r="F25" s="41"/>
      <c r="G25" s="42"/>
    </row>
    <row r="26" spans="1:7" x14ac:dyDescent="0.3">
      <c r="F26" s="41"/>
      <c r="G26" s="42"/>
    </row>
    <row r="27" spans="1:7" x14ac:dyDescent="0.3">
      <c r="F27" s="41"/>
      <c r="G27" s="42"/>
    </row>
    <row r="28" spans="1:7" x14ac:dyDescent="0.3">
      <c r="F28" s="41"/>
      <c r="G28" s="42"/>
    </row>
    <row r="29" spans="1:7" x14ac:dyDescent="0.3">
      <c r="F29" s="41"/>
      <c r="G29" s="42"/>
    </row>
    <row r="30" spans="1:7" x14ac:dyDescent="0.3">
      <c r="F30" s="41"/>
      <c r="G30" s="42"/>
    </row>
    <row r="31" spans="1:7" x14ac:dyDescent="0.3">
      <c r="F31" s="41"/>
      <c r="G31" s="42"/>
    </row>
    <row r="32" spans="1:7" x14ac:dyDescent="0.3">
      <c r="F32" s="41"/>
      <c r="G32" s="42"/>
    </row>
    <row r="33" spans="6:7" x14ac:dyDescent="0.3">
      <c r="F33" s="41"/>
      <c r="G33" s="42"/>
    </row>
    <row r="34" spans="6:7" x14ac:dyDescent="0.3">
      <c r="F34" s="41"/>
      <c r="G34" s="42"/>
    </row>
    <row r="35" spans="6:7" x14ac:dyDescent="0.3">
      <c r="F35" s="41"/>
      <c r="G35" s="42"/>
    </row>
    <row r="36" spans="6:7" x14ac:dyDescent="0.3">
      <c r="F36" s="41"/>
      <c r="G36" s="42"/>
    </row>
    <row r="37" spans="6:7" x14ac:dyDescent="0.3">
      <c r="F37" s="41"/>
      <c r="G37" s="42"/>
    </row>
    <row r="38" spans="6:7" x14ac:dyDescent="0.3">
      <c r="F38" s="41"/>
      <c r="G38" s="42"/>
    </row>
  </sheetData>
  <mergeCells count="5">
    <mergeCell ref="G14:G18"/>
    <mergeCell ref="G19:G23"/>
    <mergeCell ref="G24:G28"/>
    <mergeCell ref="G29:G33"/>
    <mergeCell ref="G34:G38"/>
  </mergeCells>
  <conditionalFormatting sqref="F2:F11">
    <cfRule type="cellIs" dxfId="39" priority="16" operator="between">
      <formula>20.01</formula>
      <formula>25</formula>
    </cfRule>
    <cfRule type="cellIs" dxfId="38" priority="17" operator="between">
      <formula>15.01</formula>
      <formula>20</formula>
    </cfRule>
    <cfRule type="cellIs" dxfId="37" priority="18" operator="between">
      <formula>10.01</formula>
      <formula>15</formula>
    </cfRule>
    <cfRule type="cellIs" dxfId="36" priority="19" operator="between">
      <formula>5.01</formula>
      <formula>10</formula>
    </cfRule>
    <cfRule type="cellIs" dxfId="35" priority="20" operator="between">
      <formula>0.1</formula>
      <formula>5</formula>
    </cfRule>
  </conditionalFormatting>
  <conditionalFormatting sqref="J2:J11">
    <cfRule type="cellIs" dxfId="54" priority="11" operator="between">
      <formula>21</formula>
      <formula>25</formula>
    </cfRule>
    <cfRule type="cellIs" dxfId="53" priority="12" operator="between">
      <formula>16</formula>
      <formula>20</formula>
    </cfRule>
    <cfRule type="cellIs" dxfId="52" priority="13" operator="between">
      <formula>11</formula>
      <formula>15</formula>
    </cfRule>
    <cfRule type="cellIs" dxfId="51" priority="14" operator="between">
      <formula>6</formula>
      <formula>10</formula>
    </cfRule>
    <cfRule type="cellIs" dxfId="50" priority="15" operator="between">
      <formula>1</formula>
      <formula>5</formula>
    </cfRule>
  </conditionalFormatting>
  <conditionalFormatting sqref="F12">
    <cfRule type="cellIs" dxfId="49" priority="6" operator="between">
      <formula>21</formula>
      <formula>25</formula>
    </cfRule>
    <cfRule type="cellIs" dxfId="48" priority="7" operator="between">
      <formula>16</formula>
      <formula>20</formula>
    </cfRule>
    <cfRule type="cellIs" dxfId="47" priority="8" operator="between">
      <formula>11</formula>
      <formula>15</formula>
    </cfRule>
    <cfRule type="cellIs" dxfId="46" priority="9" operator="between">
      <formula>6</formula>
      <formula>10</formula>
    </cfRule>
    <cfRule type="cellIs" dxfId="45" priority="10" operator="between">
      <formula>1</formula>
      <formula>5</formula>
    </cfRule>
  </conditionalFormatting>
  <conditionalFormatting sqref="J12">
    <cfRule type="cellIs" dxfId="44" priority="1" operator="between">
      <formula>21</formula>
      <formula>25</formula>
    </cfRule>
    <cfRule type="cellIs" dxfId="43" priority="2" operator="between">
      <formula>16</formula>
      <formula>20</formula>
    </cfRule>
    <cfRule type="cellIs" dxfId="42" priority="3" operator="between">
      <formula>11</formula>
      <formula>15</formula>
    </cfRule>
    <cfRule type="cellIs" dxfId="41" priority="4" operator="between">
      <formula>6</formula>
      <formula>10</formula>
    </cfRule>
    <cfRule type="cellIs" dxfId="40" priority="5" operator="between">
      <formula>1</formula>
      <formula>5</formula>
    </cfRule>
  </conditionalFormatting>
  <dataValidations count="1">
    <dataValidation type="decimal" allowBlank="1" showErrorMessage="1" errorTitle="Недопустимое значение" error="Вероятность риска можно оценивать по шкале от 0 до 5 с точностью до 0,1" sqref="D2:D12">
      <formula1>0</formula1>
      <formula2>5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L40"/>
  <sheetViews>
    <sheetView topLeftCell="A8" workbookViewId="0">
      <selection activeCell="A28" sqref="A28:I28"/>
    </sheetView>
  </sheetViews>
  <sheetFormatPr defaultColWidth="8.77734375" defaultRowHeight="14.4" x14ac:dyDescent="0.3"/>
  <cols>
    <col min="2" max="2" width="30.6640625" customWidth="1"/>
    <col min="3" max="6" width="15.6640625" customWidth="1"/>
    <col min="7" max="7" width="16.77734375" customWidth="1"/>
    <col min="8" max="9" width="15.6640625" customWidth="1"/>
    <col min="12" max="12" width="14.33203125" customWidth="1"/>
  </cols>
  <sheetData>
    <row r="1" spans="1:12" ht="25.05" customHeight="1" x14ac:dyDescent="0.3"/>
    <row r="2" spans="1:12" ht="25.05" customHeight="1" x14ac:dyDescent="0.35">
      <c r="H2" s="35"/>
      <c r="I2" s="35"/>
      <c r="K2" s="3">
        <v>1</v>
      </c>
      <c r="L2" s="3" t="s">
        <v>2</v>
      </c>
    </row>
    <row r="3" spans="1:12" ht="25.05" customHeight="1" x14ac:dyDescent="0.35">
      <c r="H3" s="35"/>
      <c r="I3" s="35"/>
      <c r="K3" s="4">
        <v>2</v>
      </c>
      <c r="L3" s="4" t="s">
        <v>3</v>
      </c>
    </row>
    <row r="4" spans="1:12" ht="25.05" customHeight="1" x14ac:dyDescent="0.35">
      <c r="H4" s="35"/>
      <c r="I4" s="35"/>
      <c r="K4" s="5">
        <v>3</v>
      </c>
      <c r="L4" s="5" t="s">
        <v>4</v>
      </c>
    </row>
    <row r="5" spans="1:12" ht="25.05" customHeight="1" x14ac:dyDescent="0.35">
      <c r="H5" s="35"/>
      <c r="I5" s="35"/>
      <c r="K5" s="7">
        <v>4</v>
      </c>
      <c r="L5" s="7" t="s">
        <v>5</v>
      </c>
    </row>
    <row r="6" spans="1:12" ht="25.05" customHeight="1" x14ac:dyDescent="0.35">
      <c r="H6" s="35"/>
      <c r="I6" s="35"/>
      <c r="K6" s="6">
        <v>5</v>
      </c>
      <c r="L6" s="6" t="s">
        <v>6</v>
      </c>
    </row>
    <row r="7" spans="1:12" ht="25.05" customHeight="1" x14ac:dyDescent="0.3"/>
    <row r="8" spans="1:12" ht="25.05" customHeight="1" x14ac:dyDescent="0.3"/>
    <row r="9" spans="1:12" ht="25.05" customHeight="1" x14ac:dyDescent="0.3"/>
    <row r="10" spans="1:12" ht="25.05" customHeight="1" x14ac:dyDescent="0.3"/>
    <row r="11" spans="1:12" ht="25.05" customHeight="1" x14ac:dyDescent="0.3"/>
    <row r="12" spans="1:12" ht="22.8" customHeight="1" x14ac:dyDescent="0.35">
      <c r="A12" s="34" t="s">
        <v>26</v>
      </c>
      <c r="B12" s="34"/>
      <c r="C12" s="34"/>
      <c r="D12" s="34"/>
      <c r="E12" s="34"/>
      <c r="F12" s="34"/>
      <c r="G12" s="34"/>
      <c r="H12" s="34"/>
      <c r="I12" s="34"/>
    </row>
    <row r="13" spans="1:12" s="33" customFormat="1" ht="46.8" x14ac:dyDescent="0.3">
      <c r="A13" s="36" t="s">
        <v>0</v>
      </c>
      <c r="B13" s="36" t="s">
        <v>1</v>
      </c>
      <c r="C13" s="36" t="s">
        <v>13</v>
      </c>
      <c r="D13" s="36" t="s">
        <v>14</v>
      </c>
      <c r="E13" s="36" t="s">
        <v>15</v>
      </c>
      <c r="F13" s="36" t="s">
        <v>18</v>
      </c>
      <c r="G13" s="36" t="s">
        <v>25</v>
      </c>
      <c r="H13" s="36" t="s">
        <v>16</v>
      </c>
      <c r="I13" s="36" t="s">
        <v>17</v>
      </c>
    </row>
    <row r="14" spans="1:12" x14ac:dyDescent="0.3">
      <c r="A14" s="1">
        <v>1</v>
      </c>
      <c r="B14" s="23">
        <f>'СРС 1 - Риски'!B2</f>
        <v>0</v>
      </c>
      <c r="C14" s="31"/>
      <c r="D14" s="31"/>
      <c r="E14" s="31"/>
      <c r="F14" s="31"/>
      <c r="G14" s="31"/>
      <c r="H14" s="31"/>
      <c r="I14" s="30" t="e">
        <f t="shared" ref="I14:I24" si="0">ROUND(AVERAGE(C14:H14),1)</f>
        <v>#DIV/0!</v>
      </c>
    </row>
    <row r="15" spans="1:12" x14ac:dyDescent="0.3">
      <c r="A15" s="1">
        <v>2</v>
      </c>
      <c r="B15" s="23">
        <f>'СРС 1 - Риски'!B3</f>
        <v>0</v>
      </c>
      <c r="C15" s="31"/>
      <c r="D15" s="31"/>
      <c r="E15" s="31"/>
      <c r="F15" s="31"/>
      <c r="G15" s="31"/>
      <c r="H15" s="31"/>
      <c r="I15" s="30" t="e">
        <f t="shared" si="0"/>
        <v>#DIV/0!</v>
      </c>
    </row>
    <row r="16" spans="1:12" x14ac:dyDescent="0.3">
      <c r="A16" s="1">
        <v>3</v>
      </c>
      <c r="B16" s="23">
        <f>'СРС 1 - Риски'!B4</f>
        <v>0</v>
      </c>
      <c r="C16" s="31"/>
      <c r="D16" s="31"/>
      <c r="E16" s="31"/>
      <c r="F16" s="31"/>
      <c r="G16" s="31"/>
      <c r="H16" s="31"/>
      <c r="I16" s="30" t="e">
        <f t="shared" si="0"/>
        <v>#DIV/0!</v>
      </c>
    </row>
    <row r="17" spans="1:9" x14ac:dyDescent="0.3">
      <c r="A17" s="1">
        <v>4</v>
      </c>
      <c r="B17" s="23">
        <f>'СРС 1 - Риски'!B5</f>
        <v>0</v>
      </c>
      <c r="C17" s="31"/>
      <c r="D17" s="31"/>
      <c r="E17" s="31"/>
      <c r="F17" s="31"/>
      <c r="G17" s="31"/>
      <c r="H17" s="31"/>
      <c r="I17" s="30" t="e">
        <f t="shared" si="0"/>
        <v>#DIV/0!</v>
      </c>
    </row>
    <row r="18" spans="1:9" x14ac:dyDescent="0.3">
      <c r="A18" s="1">
        <v>5</v>
      </c>
      <c r="B18" s="23">
        <f>'СРС 1 - Риски'!B6</f>
        <v>0</v>
      </c>
      <c r="C18" s="31"/>
      <c r="D18" s="31"/>
      <c r="E18" s="31"/>
      <c r="F18" s="31"/>
      <c r="G18" s="31"/>
      <c r="H18" s="31"/>
      <c r="I18" s="30" t="e">
        <f t="shared" si="0"/>
        <v>#DIV/0!</v>
      </c>
    </row>
    <row r="19" spans="1:9" x14ac:dyDescent="0.3">
      <c r="A19" s="1">
        <v>6</v>
      </c>
      <c r="B19" s="23">
        <f>'СРС 1 - Риски'!B7</f>
        <v>0</v>
      </c>
      <c r="C19" s="31"/>
      <c r="D19" s="31"/>
      <c r="E19" s="31"/>
      <c r="F19" s="31"/>
      <c r="G19" s="31"/>
      <c r="H19" s="31"/>
      <c r="I19" s="30" t="e">
        <f t="shared" si="0"/>
        <v>#DIV/0!</v>
      </c>
    </row>
    <row r="20" spans="1:9" x14ac:dyDescent="0.3">
      <c r="A20" s="1">
        <v>7</v>
      </c>
      <c r="B20" s="23">
        <f>'СРС 1 - Риски'!B8</f>
        <v>0</v>
      </c>
      <c r="C20" s="31"/>
      <c r="D20" s="31"/>
      <c r="E20" s="31"/>
      <c r="F20" s="31"/>
      <c r="G20" s="31"/>
      <c r="H20" s="31"/>
      <c r="I20" s="30" t="e">
        <f t="shared" si="0"/>
        <v>#DIV/0!</v>
      </c>
    </row>
    <row r="21" spans="1:9" x14ac:dyDescent="0.3">
      <c r="A21" s="1">
        <v>8</v>
      </c>
      <c r="B21" s="23">
        <f>'СРС 1 - Риски'!B9</f>
        <v>0</v>
      </c>
      <c r="C21" s="31"/>
      <c r="D21" s="31"/>
      <c r="E21" s="31"/>
      <c r="F21" s="31"/>
      <c r="G21" s="31"/>
      <c r="H21" s="31"/>
      <c r="I21" s="30" t="e">
        <f t="shared" si="0"/>
        <v>#DIV/0!</v>
      </c>
    </row>
    <row r="22" spans="1:9" x14ac:dyDescent="0.3">
      <c r="A22" s="1">
        <v>9</v>
      </c>
      <c r="B22" s="23">
        <f>'СРС 1 - Риски'!B10</f>
        <v>0</v>
      </c>
      <c r="C22" s="31"/>
      <c r="D22" s="31"/>
      <c r="E22" s="31"/>
      <c r="F22" s="31"/>
      <c r="G22" s="31"/>
      <c r="H22" s="31"/>
      <c r="I22" s="30" t="e">
        <f t="shared" si="0"/>
        <v>#DIV/0!</v>
      </c>
    </row>
    <row r="23" spans="1:9" x14ac:dyDescent="0.3">
      <c r="A23" s="1">
        <v>10</v>
      </c>
      <c r="B23" s="23">
        <f>'СРС 1 - Риски'!B11</f>
        <v>0</v>
      </c>
      <c r="C23" s="31"/>
      <c r="D23" s="31"/>
      <c r="E23" s="31"/>
      <c r="F23" s="31"/>
      <c r="G23" s="31"/>
      <c r="H23" s="31"/>
      <c r="I23" s="30" t="e">
        <f t="shared" si="0"/>
        <v>#DIV/0!</v>
      </c>
    </row>
    <row r="24" spans="1:9" x14ac:dyDescent="0.3">
      <c r="A24" s="1">
        <v>11</v>
      </c>
      <c r="B24" s="23">
        <f>'СРС 1 - Риски'!B12</f>
        <v>0</v>
      </c>
      <c r="C24" s="31"/>
      <c r="D24" s="31"/>
      <c r="E24" s="31"/>
      <c r="F24" s="31"/>
      <c r="G24" s="31"/>
      <c r="H24" s="31"/>
      <c r="I24" s="30" t="e">
        <f t="shared" si="0"/>
        <v>#DIV/0!</v>
      </c>
    </row>
    <row r="28" spans="1:9" ht="18" x14ac:dyDescent="0.35">
      <c r="A28" s="32" t="s">
        <v>27</v>
      </c>
      <c r="B28" s="32"/>
      <c r="C28" s="32"/>
      <c r="D28" s="32"/>
      <c r="E28" s="32"/>
      <c r="F28" s="32"/>
      <c r="G28" s="32"/>
      <c r="H28" s="32"/>
      <c r="I28" s="32"/>
    </row>
    <row r="29" spans="1:9" s="38" customFormat="1" ht="46.8" x14ac:dyDescent="0.3">
      <c r="A29" s="36" t="s">
        <v>0</v>
      </c>
      <c r="B29" s="36" t="s">
        <v>1</v>
      </c>
      <c r="C29" s="36" t="s">
        <v>13</v>
      </c>
      <c r="D29" s="36" t="s">
        <v>14</v>
      </c>
      <c r="E29" s="36" t="s">
        <v>15</v>
      </c>
      <c r="F29" s="36" t="s">
        <v>18</v>
      </c>
      <c r="G29" s="36" t="s">
        <v>25</v>
      </c>
      <c r="H29" s="36" t="s">
        <v>16</v>
      </c>
      <c r="I29" s="37" t="s">
        <v>17</v>
      </c>
    </row>
    <row r="30" spans="1:9" ht="21" customHeight="1" x14ac:dyDescent="0.3">
      <c r="A30" s="1">
        <v>1</v>
      </c>
      <c r="B30" s="11">
        <f>'СРС 1 - Риски'!B2</f>
        <v>0</v>
      </c>
      <c r="C30" s="31"/>
      <c r="D30" s="31"/>
      <c r="E30" s="31"/>
      <c r="F30" s="31"/>
      <c r="G30" s="31"/>
      <c r="H30" s="31"/>
      <c r="I30" s="30" t="e">
        <f t="shared" ref="I30:I40" si="1">ROUND(AVERAGE(C30:H30),1)</f>
        <v>#DIV/0!</v>
      </c>
    </row>
    <row r="31" spans="1:9" x14ac:dyDescent="0.3">
      <c r="A31" s="1">
        <v>2</v>
      </c>
      <c r="B31" s="11">
        <f>'СРС 1 - Риски'!B3</f>
        <v>0</v>
      </c>
      <c r="C31" s="31"/>
      <c r="D31" s="31"/>
      <c r="E31" s="31"/>
      <c r="F31" s="31"/>
      <c r="G31" s="31"/>
      <c r="H31" s="31"/>
      <c r="I31" s="30" t="e">
        <f t="shared" si="1"/>
        <v>#DIV/0!</v>
      </c>
    </row>
    <row r="32" spans="1:9" x14ac:dyDescent="0.3">
      <c r="A32" s="1">
        <v>3</v>
      </c>
      <c r="B32" s="11">
        <f>'СРС 1 - Риски'!B4</f>
        <v>0</v>
      </c>
      <c r="C32" s="31"/>
      <c r="D32" s="31"/>
      <c r="E32" s="31"/>
      <c r="F32" s="31"/>
      <c r="G32" s="31"/>
      <c r="H32" s="31"/>
      <c r="I32" s="30" t="e">
        <f t="shared" si="1"/>
        <v>#DIV/0!</v>
      </c>
    </row>
    <row r="33" spans="1:9" x14ac:dyDescent="0.3">
      <c r="A33" s="1">
        <v>4</v>
      </c>
      <c r="B33" s="11">
        <f>'СРС 1 - Риски'!B5</f>
        <v>0</v>
      </c>
      <c r="C33" s="31"/>
      <c r="D33" s="31"/>
      <c r="E33" s="31"/>
      <c r="F33" s="31"/>
      <c r="G33" s="31"/>
      <c r="H33" s="31"/>
      <c r="I33" s="30" t="e">
        <f t="shared" si="1"/>
        <v>#DIV/0!</v>
      </c>
    </row>
    <row r="34" spans="1:9" x14ac:dyDescent="0.3">
      <c r="A34" s="1">
        <v>5</v>
      </c>
      <c r="B34" s="11">
        <f>'СРС 1 - Риски'!B6</f>
        <v>0</v>
      </c>
      <c r="C34" s="31"/>
      <c r="D34" s="31"/>
      <c r="E34" s="31"/>
      <c r="F34" s="31"/>
      <c r="G34" s="31"/>
      <c r="H34" s="31"/>
      <c r="I34" s="30" t="e">
        <f t="shared" si="1"/>
        <v>#DIV/0!</v>
      </c>
    </row>
    <row r="35" spans="1:9" x14ac:dyDescent="0.3">
      <c r="A35" s="1">
        <v>6</v>
      </c>
      <c r="B35" s="11">
        <f>'СРС 1 - Риски'!B7</f>
        <v>0</v>
      </c>
      <c r="C35" s="31"/>
      <c r="D35" s="31"/>
      <c r="E35" s="31"/>
      <c r="F35" s="31"/>
      <c r="G35" s="31"/>
      <c r="H35" s="31"/>
      <c r="I35" s="30" t="e">
        <f t="shared" si="1"/>
        <v>#DIV/0!</v>
      </c>
    </row>
    <row r="36" spans="1:9" x14ac:dyDescent="0.3">
      <c r="A36" s="1">
        <v>7</v>
      </c>
      <c r="B36" s="11">
        <f>'СРС 1 - Риски'!B8</f>
        <v>0</v>
      </c>
      <c r="C36" s="31"/>
      <c r="D36" s="31"/>
      <c r="E36" s="31"/>
      <c r="F36" s="31"/>
      <c r="G36" s="31"/>
      <c r="H36" s="31"/>
      <c r="I36" s="30" t="e">
        <f t="shared" si="1"/>
        <v>#DIV/0!</v>
      </c>
    </row>
    <row r="37" spans="1:9" x14ac:dyDescent="0.3">
      <c r="A37" s="1">
        <v>8</v>
      </c>
      <c r="B37" s="11">
        <f>'СРС 1 - Риски'!B9</f>
        <v>0</v>
      </c>
      <c r="C37" s="31"/>
      <c r="D37" s="31"/>
      <c r="E37" s="31"/>
      <c r="F37" s="31"/>
      <c r="G37" s="31"/>
      <c r="H37" s="31"/>
      <c r="I37" s="30" t="e">
        <f t="shared" si="1"/>
        <v>#DIV/0!</v>
      </c>
    </row>
    <row r="38" spans="1:9" x14ac:dyDescent="0.3">
      <c r="A38" s="1">
        <v>9</v>
      </c>
      <c r="B38" s="11">
        <f>'СРС 1 - Риски'!B10</f>
        <v>0</v>
      </c>
      <c r="C38" s="31"/>
      <c r="D38" s="31"/>
      <c r="E38" s="31"/>
      <c r="F38" s="31"/>
      <c r="G38" s="31"/>
      <c r="H38" s="31"/>
      <c r="I38" s="30" t="e">
        <f t="shared" si="1"/>
        <v>#DIV/0!</v>
      </c>
    </row>
    <row r="39" spans="1:9" x14ac:dyDescent="0.3">
      <c r="A39" s="1">
        <v>10</v>
      </c>
      <c r="B39" s="11">
        <f>'СРС 1 - Риски'!B11</f>
        <v>0</v>
      </c>
      <c r="C39" s="31"/>
      <c r="D39" s="31"/>
      <c r="E39" s="31"/>
      <c r="F39" s="31"/>
      <c r="G39" s="31"/>
      <c r="H39" s="31"/>
      <c r="I39" s="30" t="e">
        <f t="shared" si="1"/>
        <v>#DIV/0!</v>
      </c>
    </row>
    <row r="40" spans="1:9" x14ac:dyDescent="0.3">
      <c r="A40" s="1">
        <v>11</v>
      </c>
      <c r="B40" s="11">
        <f>'СРС 1 - Риски'!B12</f>
        <v>0</v>
      </c>
      <c r="C40" s="31"/>
      <c r="D40" s="31"/>
      <c r="E40" s="31"/>
      <c r="F40" s="31"/>
      <c r="G40" s="31"/>
      <c r="H40" s="31"/>
      <c r="I40" s="30" t="e">
        <f t="shared" si="1"/>
        <v>#DIV/0!</v>
      </c>
    </row>
  </sheetData>
  <mergeCells count="2">
    <mergeCell ref="A12:I12"/>
    <mergeCell ref="A28:I28"/>
  </mergeCells>
  <conditionalFormatting sqref="I15:I24">
    <cfRule type="cellIs" dxfId="69" priority="11" operator="between">
      <formula>4</formula>
      <formula>5</formula>
    </cfRule>
    <cfRule type="cellIs" dxfId="68" priority="12" operator="between">
      <formula>3</formula>
      <formula>4</formula>
    </cfRule>
    <cfRule type="cellIs" dxfId="67" priority="13" operator="between">
      <formula>2</formula>
      <formula>3</formula>
    </cfRule>
    <cfRule type="cellIs" dxfId="66" priority="14" operator="between">
      <formula>0</formula>
      <formula>1</formula>
    </cfRule>
    <cfRule type="cellIs" dxfId="65" priority="15" operator="between">
      <formula>1</formula>
      <formula>2</formula>
    </cfRule>
  </conditionalFormatting>
  <conditionalFormatting sqref="I30:I40">
    <cfRule type="cellIs" dxfId="64" priority="6" operator="between">
      <formula>4</formula>
      <formula>5</formula>
    </cfRule>
    <cfRule type="cellIs" dxfId="63" priority="7" operator="between">
      <formula>3</formula>
      <formula>4</formula>
    </cfRule>
    <cfRule type="cellIs" dxfId="62" priority="8" operator="between">
      <formula>2</formula>
      <formula>3</formula>
    </cfRule>
    <cfRule type="cellIs" dxfId="61" priority="9" operator="between">
      <formula>0</formula>
      <formula>1</formula>
    </cfRule>
    <cfRule type="cellIs" dxfId="60" priority="10" operator="between">
      <formula>1</formula>
      <formula>2</formula>
    </cfRule>
  </conditionalFormatting>
  <conditionalFormatting sqref="I14">
    <cfRule type="cellIs" dxfId="59" priority="1" operator="between">
      <formula>4</formula>
      <formula>5</formula>
    </cfRule>
    <cfRule type="cellIs" dxfId="58" priority="2" operator="between">
      <formula>3</formula>
      <formula>4</formula>
    </cfRule>
    <cfRule type="cellIs" dxfId="57" priority="3" operator="between">
      <formula>2</formula>
      <formula>3</formula>
    </cfRule>
    <cfRule type="cellIs" dxfId="56" priority="4" operator="between">
      <formula>0</formula>
      <formula>1</formula>
    </cfRule>
    <cfRule type="cellIs" dxfId="55" priority="5" operator="between">
      <formula>1</formula>
      <formula>2</formula>
    </cfRule>
  </conditionalFormatting>
  <dataValidations count="1">
    <dataValidation type="list" operator="notBetween" allowBlank="1" showErrorMessage="1" errorTitle="Допустимый диапазон 1-5" error="ошибка ввода" sqref="C14:H24 C30:H40">
      <formula1>$K$2:$K$6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Пример 1 - Риски</vt:lpstr>
      <vt:lpstr>Пример 2 - Влияние </vt:lpstr>
      <vt:lpstr>СРС 1 - Риски</vt:lpstr>
      <vt:lpstr>СРС 2 - Влияние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Popova</dc:creator>
  <cp:lastModifiedBy>ipetrpova</cp:lastModifiedBy>
  <dcterms:created xsi:type="dcterms:W3CDTF">2022-08-01T15:26:24Z</dcterms:created>
  <dcterms:modified xsi:type="dcterms:W3CDTF">2023-11-03T14:50:54Z</dcterms:modified>
</cp:coreProperties>
</file>